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718\HERO\Super_Capacitor\project\super_capacity_new\hero_-stm32-f334_-scaptest\hero_-stm32-f334_-scaptest\"/>
    </mc:Choice>
  </mc:AlternateContent>
  <xr:revisionPtr revIDLastSave="0" documentId="13_ncr:1_{55B17215-6201-4264-9323-F7D5639BB8B9}" xr6:coauthVersionLast="47" xr6:coauthVersionMax="47" xr10:uidLastSave="{00000000-0000-0000-0000-000000000000}"/>
  <bookViews>
    <workbookView xWindow="-110" yWindow="-110" windowWidth="19420" windowHeight="10420" xr2:uid="{2D5884E3-4195-4512-BF57-2C64CDB6D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1" l="1"/>
  <c r="O3" i="1"/>
  <c r="D4" i="1"/>
  <c r="D5" i="1"/>
  <c r="D6" i="1"/>
  <c r="D7" i="1"/>
  <c r="D8" i="1"/>
  <c r="D3" i="1"/>
  <c r="F3" i="1"/>
  <c r="N3" i="1"/>
  <c r="M17" i="1"/>
  <c r="O17" i="1" s="1"/>
  <c r="M16" i="1"/>
  <c r="N17" i="1" s="1"/>
  <c r="M15" i="1"/>
  <c r="N16" i="1" s="1"/>
  <c r="M14" i="1"/>
  <c r="N15" i="1" s="1"/>
  <c r="M13" i="1"/>
  <c r="O13" i="1" s="1"/>
  <c r="M12" i="1"/>
  <c r="O12" i="1" s="1"/>
  <c r="M11" i="1"/>
  <c r="M10" i="1"/>
  <c r="O10" i="1" s="1"/>
  <c r="M9" i="1"/>
  <c r="O9" i="1" s="1"/>
  <c r="M8" i="1"/>
  <c r="N9" i="1" s="1"/>
  <c r="M7" i="1"/>
  <c r="N8" i="1" s="1"/>
  <c r="M6" i="1"/>
  <c r="O6" i="1" s="1"/>
  <c r="M5" i="1"/>
  <c r="O5" i="1" s="1"/>
  <c r="M4" i="1"/>
  <c r="O4" i="1" s="1"/>
  <c r="M3" i="1"/>
  <c r="L3" i="1"/>
  <c r="Q3" i="1" s="1"/>
  <c r="C5" i="1"/>
  <c r="E5" i="1" s="1"/>
  <c r="C6" i="1"/>
  <c r="E6" i="1" s="1"/>
  <c r="C7" i="1"/>
  <c r="E7" i="1" s="1"/>
  <c r="C8" i="1"/>
  <c r="E8" i="1" s="1"/>
  <c r="C9" i="1"/>
  <c r="C4" i="1"/>
  <c r="E4" i="1" s="1"/>
  <c r="C3" i="1"/>
  <c r="E3" i="1" s="1"/>
  <c r="B14" i="1"/>
  <c r="D14" i="1" s="1"/>
  <c r="B13" i="1"/>
  <c r="C14" i="1" s="1"/>
  <c r="E14" i="1" s="1"/>
  <c r="B12" i="1"/>
  <c r="C13" i="1" s="1"/>
  <c r="E13" i="1" s="1"/>
  <c r="B11" i="1"/>
  <c r="C12" i="1" s="1"/>
  <c r="B10" i="1"/>
  <c r="D10" i="1" s="1"/>
  <c r="B9" i="1"/>
  <c r="E9" i="1" s="1"/>
  <c r="O15" i="1" l="1"/>
  <c r="D11" i="1"/>
  <c r="D9" i="1"/>
  <c r="O16" i="1"/>
  <c r="O8" i="1"/>
  <c r="O7" i="1"/>
  <c r="O14" i="1"/>
  <c r="P3" i="1"/>
  <c r="R3" i="1" s="1"/>
  <c r="S3" i="1" s="1"/>
  <c r="D13" i="1"/>
  <c r="D12" i="1"/>
  <c r="G3" i="1"/>
  <c r="H3" i="1" s="1"/>
  <c r="P8" i="1"/>
  <c r="P16" i="1"/>
  <c r="P17" i="1"/>
  <c r="P9" i="1"/>
  <c r="N4" i="1"/>
  <c r="P4" i="1" s="1"/>
  <c r="C10" i="1"/>
  <c r="E10" i="1" s="1"/>
  <c r="P15" i="1"/>
  <c r="N10" i="1"/>
  <c r="P10" i="1" s="1"/>
  <c r="E12" i="1"/>
  <c r="C11" i="1"/>
  <c r="E11" i="1" s="1"/>
  <c r="N7" i="1"/>
  <c r="P7" i="1" s="1"/>
  <c r="N14" i="1"/>
  <c r="P14" i="1" s="1"/>
  <c r="N6" i="1"/>
  <c r="P6" i="1" s="1"/>
  <c r="N13" i="1"/>
  <c r="P13" i="1" s="1"/>
  <c r="N5" i="1"/>
  <c r="P5" i="1" s="1"/>
  <c r="N12" i="1"/>
  <c r="P12" i="1" s="1"/>
  <c r="N11" i="1"/>
  <c r="P11" i="1" s="1"/>
  <c r="A4" i="1" l="1"/>
  <c r="I3" i="1"/>
  <c r="J3" i="1" s="1"/>
  <c r="L4" i="1"/>
  <c r="Q4" i="1" s="1"/>
  <c r="T3" i="1"/>
  <c r="U3" i="1" s="1"/>
  <c r="F4" i="1"/>
  <c r="G4" i="1"/>
  <c r="H4" i="1" s="1"/>
  <c r="R4" i="1"/>
  <c r="S4" i="1" s="1"/>
  <c r="L5" i="1" l="1"/>
  <c r="T4" i="1"/>
  <c r="U4" i="1" s="1"/>
  <c r="A5" i="1"/>
  <c r="I4" i="1"/>
  <c r="J4" i="1" s="1"/>
  <c r="R5" i="1"/>
  <c r="S5" i="1" s="1"/>
  <c r="Q5" i="1"/>
  <c r="G5" i="1"/>
  <c r="H5" i="1" s="1"/>
  <c r="F5" i="1"/>
  <c r="A6" i="1" l="1"/>
  <c r="I5" i="1"/>
  <c r="J5" i="1" s="1"/>
  <c r="L6" i="1"/>
  <c r="T5" i="1"/>
  <c r="U5" i="1" s="1"/>
  <c r="R6" i="1"/>
  <c r="S6" i="1" s="1"/>
  <c r="Q6" i="1"/>
  <c r="G6" i="1"/>
  <c r="H6" i="1" s="1"/>
  <c r="F6" i="1"/>
  <c r="A7" i="1" l="1"/>
  <c r="I6" i="1"/>
  <c r="J6" i="1" s="1"/>
  <c r="L7" i="1"/>
  <c r="Q7" i="1" s="1"/>
  <c r="T6" i="1"/>
  <c r="U6" i="1" s="1"/>
  <c r="R7" i="1"/>
  <c r="S7" i="1" s="1"/>
  <c r="G7" i="1"/>
  <c r="H7" i="1" s="1"/>
  <c r="F7" i="1"/>
  <c r="A8" i="1" l="1"/>
  <c r="I7" i="1"/>
  <c r="J7" i="1" s="1"/>
  <c r="L8" i="1"/>
  <c r="Q8" i="1" s="1"/>
  <c r="T7" i="1"/>
  <c r="U7" i="1" s="1"/>
  <c r="R8" i="1"/>
  <c r="S8" i="1" s="1"/>
  <c r="G8" i="1"/>
  <c r="H8" i="1" s="1"/>
  <c r="F8" i="1"/>
  <c r="L9" i="1" l="1"/>
  <c r="T8" i="1"/>
  <c r="U8" i="1" s="1"/>
  <c r="A9" i="1"/>
  <c r="I8" i="1"/>
  <c r="J8" i="1" s="1"/>
  <c r="G9" i="1"/>
  <c r="H9" i="1" s="1"/>
  <c r="F9" i="1"/>
  <c r="A10" i="1" l="1"/>
  <c r="I9" i="1"/>
  <c r="J9" i="1" s="1"/>
  <c r="Q9" i="1"/>
  <c r="R9" i="1"/>
  <c r="S9" i="1" s="1"/>
  <c r="F10" i="1"/>
  <c r="G10" i="1"/>
  <c r="H10" i="1" s="1"/>
  <c r="L10" i="1" l="1"/>
  <c r="T9" i="1"/>
  <c r="U9" i="1" s="1"/>
  <c r="A11" i="1"/>
  <c r="I10" i="1"/>
  <c r="J10" i="1" s="1"/>
  <c r="G11" i="1"/>
  <c r="H11" i="1" s="1"/>
  <c r="F11" i="1"/>
  <c r="A12" i="1" l="1"/>
  <c r="I11" i="1"/>
  <c r="J11" i="1" s="1"/>
  <c r="R10" i="1"/>
  <c r="S10" i="1" s="1"/>
  <c r="Q10" i="1"/>
  <c r="G12" i="1"/>
  <c r="H12" i="1" s="1"/>
  <c r="F12" i="1"/>
  <c r="A13" i="1" l="1"/>
  <c r="I12" i="1"/>
  <c r="J12" i="1" s="1"/>
  <c r="L11" i="1"/>
  <c r="T10" i="1"/>
  <c r="U10" i="1" s="1"/>
  <c r="G13" i="1"/>
  <c r="H13" i="1" s="1"/>
  <c r="F13" i="1"/>
  <c r="R11" i="1" l="1"/>
  <c r="S11" i="1" s="1"/>
  <c r="Q11" i="1"/>
  <c r="A14" i="1"/>
  <c r="I13" i="1"/>
  <c r="J13" i="1" s="1"/>
  <c r="G14" i="1"/>
  <c r="H14" i="1" s="1"/>
  <c r="I14" i="1" s="1"/>
  <c r="J14" i="1" s="1"/>
  <c r="F14" i="1"/>
  <c r="L12" i="1" l="1"/>
  <c r="T11" i="1"/>
  <c r="U11" i="1" s="1"/>
  <c r="Q12" i="1" l="1"/>
  <c r="R12" i="1"/>
  <c r="S12" i="1" s="1"/>
  <c r="L13" i="1" l="1"/>
  <c r="T12" i="1"/>
  <c r="U12" i="1" s="1"/>
  <c r="R13" i="1" l="1"/>
  <c r="S13" i="1" s="1"/>
  <c r="Q13" i="1"/>
  <c r="L14" i="1" l="1"/>
  <c r="T13" i="1"/>
  <c r="U13" i="1" s="1"/>
  <c r="R14" i="1" l="1"/>
  <c r="S14" i="1" s="1"/>
  <c r="Q14" i="1"/>
  <c r="L15" i="1" l="1"/>
  <c r="T14" i="1"/>
  <c r="U14" i="1" s="1"/>
  <c r="Q15" i="1" l="1"/>
  <c r="R15" i="1"/>
  <c r="S15" i="1" s="1"/>
  <c r="L16" i="1" l="1"/>
  <c r="T15" i="1"/>
  <c r="U15" i="1" s="1"/>
  <c r="R16" i="1" l="1"/>
  <c r="S16" i="1" s="1"/>
  <c r="Q16" i="1"/>
  <c r="L17" i="1" l="1"/>
  <c r="T16" i="1"/>
  <c r="U16" i="1" s="1"/>
  <c r="R17" i="1" l="1"/>
  <c r="S17" i="1" s="1"/>
  <c r="T17" i="1" s="1"/>
  <c r="U17" i="1" s="1"/>
  <c r="Q17" i="1"/>
</calcChain>
</file>

<file path=xl/sharedStrings.xml><?xml version="1.0" encoding="utf-8"?>
<sst xmlns="http://schemas.openxmlformats.org/spreadsheetml/2006/main" count="29" uniqueCount="20">
  <si>
    <t>err</t>
    <phoneticPr fontId="2" type="noConversion"/>
  </si>
  <si>
    <t>err_last</t>
    <phoneticPr fontId="2" type="noConversion"/>
  </si>
  <si>
    <t>kd</t>
    <phoneticPr fontId="2" type="noConversion"/>
  </si>
  <si>
    <t>ki</t>
    <phoneticPr fontId="2" type="noConversion"/>
  </si>
  <si>
    <t>kid</t>
    <phoneticPr fontId="2" type="noConversion"/>
  </si>
  <si>
    <t>D</t>
    <phoneticPr fontId="2" type="noConversion"/>
  </si>
  <si>
    <t>I</t>
    <phoneticPr fontId="2" type="noConversion"/>
  </si>
  <si>
    <t>I_Calc</t>
    <phoneticPr fontId="2" type="noConversion"/>
  </si>
  <si>
    <t>I_limit</t>
    <phoneticPr fontId="2" type="noConversion"/>
  </si>
  <si>
    <t>I_last</t>
    <phoneticPr fontId="2" type="noConversion"/>
  </si>
  <si>
    <t>I_original</t>
  </si>
  <si>
    <t>I_original</t>
    <phoneticPr fontId="2" type="noConversion"/>
  </si>
  <si>
    <t>P</t>
    <phoneticPr fontId="2" type="noConversion"/>
  </si>
  <si>
    <t>Out</t>
    <phoneticPr fontId="2" type="noConversion"/>
  </si>
  <si>
    <t>kp</t>
    <phoneticPr fontId="2" type="noConversion"/>
  </si>
  <si>
    <t>Out_limit</t>
    <phoneticPr fontId="2" type="noConversion"/>
  </si>
  <si>
    <t>Out_Original</t>
    <phoneticPr fontId="2" type="noConversion"/>
  </si>
  <si>
    <t>Charging</t>
    <phoneticPr fontId="2" type="noConversion"/>
  </si>
  <si>
    <t>DisCharging</t>
    <phoneticPr fontId="2" type="noConversion"/>
  </si>
  <si>
    <t>PID Parameters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</si>
</sst>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40% - 着色 3" xfId="1" builtinId="39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8663-2760-4905-9DC9-0F562152498C}">
  <dimension ref="A1:X17"/>
  <sheetViews>
    <sheetView tabSelected="1" topLeftCell="H1" zoomScaleNormal="100" workbookViewId="0">
      <selection activeCell="W18" sqref="W18"/>
    </sheetView>
  </sheetViews>
  <sheetFormatPr defaultRowHeight="14" x14ac:dyDescent="0.3"/>
  <cols>
    <col min="9" max="9" width="10.9140625" customWidth="1"/>
    <col min="20" max="20" width="11.5" customWidth="1"/>
  </cols>
  <sheetData>
    <row r="1" spans="1:24" x14ac:dyDescent="0.3">
      <c r="A1" s="3" t="s">
        <v>17</v>
      </c>
      <c r="B1" s="3"/>
      <c r="C1" s="3"/>
      <c r="D1" s="3"/>
      <c r="E1" s="3"/>
      <c r="F1" s="3"/>
      <c r="G1" s="3"/>
      <c r="H1" s="3"/>
      <c r="I1" s="3"/>
      <c r="J1" s="3"/>
      <c r="L1" s="3" t="s">
        <v>18</v>
      </c>
      <c r="M1" s="3"/>
      <c r="N1" s="3"/>
      <c r="O1" s="3"/>
      <c r="P1" s="3"/>
      <c r="Q1" s="3"/>
      <c r="R1" s="3"/>
      <c r="S1" s="3"/>
      <c r="T1" s="3"/>
      <c r="U1" s="3"/>
    </row>
    <row r="2" spans="1:24" x14ac:dyDescent="0.3">
      <c r="A2" s="1" t="s">
        <v>9</v>
      </c>
      <c r="B2" s="1" t="s">
        <v>0</v>
      </c>
      <c r="C2" s="1" t="s">
        <v>1</v>
      </c>
      <c r="D2" s="1" t="s">
        <v>12</v>
      </c>
      <c r="E2" s="1" t="s">
        <v>5</v>
      </c>
      <c r="F2" s="1" t="s">
        <v>11</v>
      </c>
      <c r="G2" s="1" t="s">
        <v>7</v>
      </c>
      <c r="H2" s="1" t="s">
        <v>6</v>
      </c>
      <c r="I2" s="1" t="s">
        <v>16</v>
      </c>
      <c r="J2" s="1" t="s">
        <v>13</v>
      </c>
      <c r="L2" s="1" t="s">
        <v>9</v>
      </c>
      <c r="M2" s="1" t="s">
        <v>0</v>
      </c>
      <c r="N2" s="1" t="s">
        <v>1</v>
      </c>
      <c r="O2" s="1" t="s">
        <v>12</v>
      </c>
      <c r="P2" s="1" t="s">
        <v>5</v>
      </c>
      <c r="Q2" s="1" t="s">
        <v>10</v>
      </c>
      <c r="R2" s="1" t="s">
        <v>7</v>
      </c>
      <c r="S2" s="1" t="s">
        <v>6</v>
      </c>
      <c r="T2" s="1" t="s">
        <v>16</v>
      </c>
      <c r="U2" s="1" t="s">
        <v>13</v>
      </c>
      <c r="W2" s="3" t="s">
        <v>19</v>
      </c>
      <c r="X2" s="3"/>
    </row>
    <row r="3" spans="1:24" x14ac:dyDescent="0.3">
      <c r="A3">
        <v>-10000</v>
      </c>
      <c r="B3">
        <v>-4.21976</v>
      </c>
      <c r="C3">
        <f>-8+3.611838</f>
        <v>-4.3881619999999995</v>
      </c>
      <c r="D3">
        <f>$X$3*B3</f>
        <v>-10549.4</v>
      </c>
      <c r="E3">
        <f>$X$4*(B3-C3)</f>
        <v>303.1235999999991</v>
      </c>
      <c r="F3">
        <f>A3+$X$5*B3</f>
        <v>-11076.0388</v>
      </c>
      <c r="G3">
        <f>A3+$X$5*(B3+$X$6*E3)</f>
        <v>-10032.535807000004</v>
      </c>
      <c r="H3">
        <f>IF(IF(G3&lt;-$X$7,-$X$7,G3)&gt;$X$7,$X$7,IF(G3&lt;-$X$7,-$X$7,G3))</f>
        <v>-10000</v>
      </c>
      <c r="I3">
        <f>D3+H3+E3</f>
        <v>-20246.276400000002</v>
      </c>
      <c r="J3">
        <f>IF(IF(I3&gt;$X$8,$X$8,I3)&lt;-$X$8,-$X$8,IF(I3&gt;$X$8,$X$8,I3))</f>
        <v>-10000</v>
      </c>
      <c r="L3">
        <f>X7</f>
        <v>10000</v>
      </c>
      <c r="M3">
        <f>8-1.458106</f>
        <v>6.5418940000000001</v>
      </c>
      <c r="N3">
        <f>8-1.270456</f>
        <v>6.7295439999999997</v>
      </c>
      <c r="O3">
        <f>$X$3*M3</f>
        <v>16354.735000000001</v>
      </c>
      <c r="P3">
        <f>$X$4*(M3-N3)</f>
        <v>-337.76999999999936</v>
      </c>
      <c r="Q3">
        <f>L3+$X$5*M3</f>
        <v>11668.18297</v>
      </c>
      <c r="R3">
        <f>L3+$X$5*(M3+$X$6*P3)</f>
        <v>10505.409745000003</v>
      </c>
      <c r="S3">
        <f>IF(IF(R3&lt;-$X$7,-$X$7,R3)&gt;$X$7,$X$7,IF(R3&lt;-$X$7,-$X$7,R3))</f>
        <v>10000</v>
      </c>
      <c r="T3">
        <f>O3+S3+P3</f>
        <v>26016.965</v>
      </c>
      <c r="U3">
        <f>IF(IF(T3&gt;$X$8,$X$8,T3)&lt;-$X$8,-$X$8,IF(T3&gt;$X$8,$X$8,T3))</f>
        <v>10000</v>
      </c>
      <c r="W3" s="4" t="s">
        <v>14</v>
      </c>
      <c r="X3" s="2">
        <v>2500</v>
      </c>
    </row>
    <row r="4" spans="1:24" x14ac:dyDescent="0.3">
      <c r="A4">
        <f>H3</f>
        <v>-10000</v>
      </c>
      <c r="B4">
        <v>-4.0584740000000004</v>
      </c>
      <c r="C4">
        <f>B3</f>
        <v>-4.21976</v>
      </c>
      <c r="D4">
        <f t="shared" ref="D4:D14" si="0">$X$3*B4</f>
        <v>-10146.185000000001</v>
      </c>
      <c r="E4">
        <f>$X$4*(B4-C4)</f>
        <v>290.31479999999925</v>
      </c>
      <c r="F4">
        <f t="shared" ref="F4:F14" si="1">A4+$X$5*B4</f>
        <v>-11034.91087</v>
      </c>
      <c r="G4">
        <f>A4+$X$5*(B4+$X$6*E4)</f>
        <v>-10035.502171000002</v>
      </c>
      <c r="H4">
        <f>IF(IF(G4&lt;-$X$7,-$X$7,G4)&gt;$X$7,$X$7,IF(G4&lt;-$X$7,-$X$7,G4))</f>
        <v>-10000</v>
      </c>
      <c r="I4">
        <f t="shared" ref="I4:I14" si="2">D4+H4+E4</f>
        <v>-19855.870200000001</v>
      </c>
      <c r="J4">
        <f t="shared" ref="J4:J14" si="3">IF(IF(I4&gt;$X$8,$X$8,I4)&lt;-$X$8,-$X$8,IF(I4&gt;$X$8,$X$8,I4))</f>
        <v>-10000</v>
      </c>
      <c r="L4">
        <f>S3</f>
        <v>10000</v>
      </c>
      <c r="M4">
        <f>8-1.63244</f>
        <v>6.3675600000000001</v>
      </c>
      <c r="N4">
        <f>M3</f>
        <v>6.5418940000000001</v>
      </c>
      <c r="O4">
        <f t="shared" ref="O4:O17" si="4">$X$3*M4</f>
        <v>15918.9</v>
      </c>
      <c r="P4">
        <f t="shared" ref="P4:P17" si="5">$X$4*(M4-N4)</f>
        <v>-313.80119999999999</v>
      </c>
      <c r="Q4">
        <f t="shared" ref="Q4:Q17" si="6">L4+$X$5*M4</f>
        <v>11623.727800000001</v>
      </c>
      <c r="R4">
        <f t="shared" ref="R4:R17" si="7">L4+$X$5*(M4+$X$6*P4)</f>
        <v>10543.467169</v>
      </c>
      <c r="S4">
        <f>IF(IF(R4&lt;-$X$7,-$X$7,R4)&gt;$X$7,$X$7,IF(R4&lt;-$X$7,-$X$7,R4))</f>
        <v>10000</v>
      </c>
      <c r="T4">
        <f t="shared" ref="T4:T17" si="8">O4+S4+P4</f>
        <v>25605.0988</v>
      </c>
      <c r="U4">
        <f t="shared" ref="U4:U17" si="9">IF(IF(T4&gt;$X$8,$X$8,T4)&lt;-$X$8,-$X$8,IF(T4&gt;$X$8,$X$8,T4))</f>
        <v>10000</v>
      </c>
      <c r="W4" s="4" t="s">
        <v>2</v>
      </c>
      <c r="X4" s="2">
        <v>1800</v>
      </c>
    </row>
    <row r="5" spans="1:24" x14ac:dyDescent="0.3">
      <c r="A5">
        <f>H4</f>
        <v>-10000</v>
      </c>
      <c r="B5">
        <v>-3.9043399999999999</v>
      </c>
      <c r="C5">
        <f t="shared" ref="C5:C14" si="10">B4</f>
        <v>-4.0584740000000004</v>
      </c>
      <c r="D5">
        <f t="shared" si="0"/>
        <v>-9760.85</v>
      </c>
      <c r="E5">
        <f>$X$4*(B5-C5)</f>
        <v>277.44120000000078</v>
      </c>
      <c r="F5">
        <f t="shared" si="1"/>
        <v>-10995.6067</v>
      </c>
      <c r="G5">
        <f>A5+$X$5*(B5+$X$6*E5)</f>
        <v>-10040.515368999997</v>
      </c>
      <c r="H5">
        <f>IF(IF(G5&lt;-$X$7,-$X$7,G5)&gt;$X$7,$X$7,IF(G5&lt;-$X$7,-$X$7,G5))</f>
        <v>-10000</v>
      </c>
      <c r="I5">
        <f t="shared" si="2"/>
        <v>-19483.408799999997</v>
      </c>
      <c r="J5">
        <f t="shared" si="3"/>
        <v>-10000</v>
      </c>
      <c r="L5">
        <f>S4</f>
        <v>10000</v>
      </c>
      <c r="M5">
        <f>8-1.800926</f>
        <v>6.1990739999999995</v>
      </c>
      <c r="N5">
        <f t="shared" ref="N5:N17" si="11">M4</f>
        <v>6.3675600000000001</v>
      </c>
      <c r="O5">
        <f t="shared" si="4"/>
        <v>15497.684999999999</v>
      </c>
      <c r="P5">
        <f t="shared" si="5"/>
        <v>-303.27480000000105</v>
      </c>
      <c r="Q5">
        <f t="shared" si="6"/>
        <v>11580.763869999999</v>
      </c>
      <c r="R5">
        <f t="shared" si="7"/>
        <v>10536.740370999996</v>
      </c>
      <c r="S5">
        <f>IF(IF(R5&lt;-$X$7,-$X$7,R5)&gt;$X$7,$X$7,IF(R5&lt;-$X$7,-$X$7,R5))</f>
        <v>10000</v>
      </c>
      <c r="T5">
        <f t="shared" si="8"/>
        <v>25194.410199999998</v>
      </c>
      <c r="U5">
        <f t="shared" si="9"/>
        <v>10000</v>
      </c>
      <c r="W5" s="4" t="s">
        <v>3</v>
      </c>
      <c r="X5" s="2">
        <v>255</v>
      </c>
    </row>
    <row r="6" spans="1:24" x14ac:dyDescent="0.3">
      <c r="A6">
        <f>H5</f>
        <v>-10000</v>
      </c>
      <c r="B6">
        <v>-3.7487599999999999</v>
      </c>
      <c r="C6">
        <f t="shared" si="10"/>
        <v>-3.9043399999999999</v>
      </c>
      <c r="D6">
        <f t="shared" si="0"/>
        <v>-9371.9</v>
      </c>
      <c r="E6">
        <f>$X$4*(B6-C6)</f>
        <v>280.0440000000001</v>
      </c>
      <c r="F6">
        <f t="shared" si="1"/>
        <v>-10955.933800000001</v>
      </c>
      <c r="G6">
        <f>A6+$X$5*(B6+$X$6*E6)</f>
        <v>-9991.8823300000004</v>
      </c>
      <c r="H6">
        <f>IF(IF(G6&lt;-$X$7,-$X$7,G6)&gt;$X$7,$X$7,IF(G6&lt;-$X$7,-$X$7,G6))</f>
        <v>-9991.8823300000004</v>
      </c>
      <c r="I6">
        <f t="shared" si="2"/>
        <v>-19083.73833</v>
      </c>
      <c r="J6">
        <f t="shared" si="3"/>
        <v>-10000</v>
      </c>
      <c r="L6">
        <f>S5</f>
        <v>10000</v>
      </c>
      <c r="M6">
        <f>8-1.953244</f>
        <v>6.0467560000000002</v>
      </c>
      <c r="N6">
        <f t="shared" si="11"/>
        <v>6.1990739999999995</v>
      </c>
      <c r="O6">
        <f t="shared" si="4"/>
        <v>15116.890000000001</v>
      </c>
      <c r="P6">
        <f t="shared" si="5"/>
        <v>-274.17239999999873</v>
      </c>
      <c r="Q6">
        <f t="shared" si="6"/>
        <v>11541.922780000001</v>
      </c>
      <c r="R6">
        <f t="shared" si="7"/>
        <v>10598.084293000004</v>
      </c>
      <c r="S6">
        <f t="shared" ref="S6:S17" si="12">IF(IF(R6&lt;-$X$7,-$X$7,R6)&gt;$X$7,$X$7,IF(R6&lt;-$X$7,-$X$7,R6))</f>
        <v>10000</v>
      </c>
      <c r="T6">
        <f t="shared" si="8"/>
        <v>24842.7176</v>
      </c>
      <c r="U6">
        <f t="shared" si="9"/>
        <v>10000</v>
      </c>
      <c r="W6" s="4" t="s">
        <v>4</v>
      </c>
      <c r="X6" s="2">
        <v>1.35E-2</v>
      </c>
    </row>
    <row r="7" spans="1:24" x14ac:dyDescent="0.3">
      <c r="A7">
        <f>H6</f>
        <v>-9991.8823300000004</v>
      </c>
      <c r="B7">
        <v>-3.5918199999999998</v>
      </c>
      <c r="C7">
        <f t="shared" si="10"/>
        <v>-3.7487599999999999</v>
      </c>
      <c r="D7">
        <f t="shared" si="0"/>
        <v>-8979.5499999999993</v>
      </c>
      <c r="E7">
        <f>$X$4*(B7-C7)</f>
        <v>282.49200000000013</v>
      </c>
      <c r="F7">
        <f t="shared" si="1"/>
        <v>-10907.79643</v>
      </c>
      <c r="G7">
        <f>A7+$X$5*(B7+$X$6*E7)</f>
        <v>-9935.3177199999991</v>
      </c>
      <c r="H7">
        <f>IF(IF(G7&lt;-$X$7,-$X$7,G7)&gt;$X$7,$X$7,IF(G7&lt;-$X$7,-$X$7,G7))</f>
        <v>-9935.3177199999991</v>
      </c>
      <c r="I7">
        <f t="shared" si="2"/>
        <v>-18632.37572</v>
      </c>
      <c r="J7">
        <f t="shared" si="3"/>
        <v>-10000</v>
      </c>
      <c r="L7">
        <f t="shared" ref="L7:L17" si="13">S6</f>
        <v>10000</v>
      </c>
      <c r="M7">
        <f>8-2.107575</f>
        <v>5.8924249999999994</v>
      </c>
      <c r="N7">
        <f t="shared" si="11"/>
        <v>6.0467560000000002</v>
      </c>
      <c r="O7">
        <f t="shared" si="4"/>
        <v>14731.062499999998</v>
      </c>
      <c r="P7">
        <f t="shared" si="5"/>
        <v>-277.79580000000158</v>
      </c>
      <c r="Q7">
        <f t="shared" si="6"/>
        <v>11502.568374999999</v>
      </c>
      <c r="R7">
        <f t="shared" si="7"/>
        <v>10546.256333499994</v>
      </c>
      <c r="S7">
        <f t="shared" si="12"/>
        <v>10000</v>
      </c>
      <c r="T7">
        <f t="shared" si="8"/>
        <v>24453.2667</v>
      </c>
      <c r="U7">
        <f t="shared" si="9"/>
        <v>10000</v>
      </c>
      <c r="W7" s="4" t="s">
        <v>8</v>
      </c>
      <c r="X7" s="2">
        <v>10000</v>
      </c>
    </row>
    <row r="8" spans="1:24" x14ac:dyDescent="0.3">
      <c r="A8">
        <f>H7</f>
        <v>-9935.3177199999991</v>
      </c>
      <c r="B8">
        <v>-3.440207</v>
      </c>
      <c r="C8">
        <f t="shared" si="10"/>
        <v>-3.5918199999999998</v>
      </c>
      <c r="D8">
        <f t="shared" si="0"/>
        <v>-8600.5174999999999</v>
      </c>
      <c r="E8">
        <f>$X$4*(B8-C8)</f>
        <v>272.90339999999958</v>
      </c>
      <c r="F8">
        <f t="shared" si="1"/>
        <v>-10812.570505</v>
      </c>
      <c r="G8">
        <f>A8+$X$5*(B8+$X$6*E8)</f>
        <v>-9873.1005505000012</v>
      </c>
      <c r="H8">
        <f>IF(IF(G8&lt;-$X$7,-$X$7,G8)&gt;$X$7,$X$7,IF(G8&lt;-$X$7,-$X$7,G8))</f>
        <v>-9873.1005505000012</v>
      </c>
      <c r="I8">
        <f t="shared" si="2"/>
        <v>-18200.714650500002</v>
      </c>
      <c r="J8">
        <f t="shared" si="3"/>
        <v>-10000</v>
      </c>
      <c r="L8">
        <f t="shared" si="13"/>
        <v>10000</v>
      </c>
      <c r="M8">
        <f>8-2.24223</f>
        <v>5.7577699999999998</v>
      </c>
      <c r="N8">
        <f t="shared" si="11"/>
        <v>5.8924249999999994</v>
      </c>
      <c r="O8">
        <f t="shared" si="4"/>
        <v>14394.424999999999</v>
      </c>
      <c r="P8">
        <f t="shared" si="5"/>
        <v>-242.37899999999914</v>
      </c>
      <c r="Q8">
        <f t="shared" si="6"/>
        <v>11468.23135</v>
      </c>
      <c r="R8">
        <f t="shared" si="7"/>
        <v>10633.841642500003</v>
      </c>
      <c r="S8">
        <f t="shared" si="12"/>
        <v>10000</v>
      </c>
      <c r="T8">
        <f t="shared" si="8"/>
        <v>24152.045999999998</v>
      </c>
      <c r="U8">
        <f t="shared" si="9"/>
        <v>10000</v>
      </c>
      <c r="W8" s="4" t="s">
        <v>15</v>
      </c>
      <c r="X8" s="2">
        <v>10000</v>
      </c>
    </row>
    <row r="9" spans="1:24" x14ac:dyDescent="0.3">
      <c r="A9">
        <f>H8</f>
        <v>-9873.1005505000012</v>
      </c>
      <c r="B9">
        <f>-8+4.710711</f>
        <v>-3.2892890000000001</v>
      </c>
      <c r="C9">
        <f t="shared" si="10"/>
        <v>-3.440207</v>
      </c>
      <c r="D9">
        <f t="shared" si="0"/>
        <v>-8223.2224999999999</v>
      </c>
      <c r="E9">
        <f>$X$4*(B9-C9)</f>
        <v>271.65239999999977</v>
      </c>
      <c r="F9">
        <f t="shared" si="1"/>
        <v>-10711.869245500002</v>
      </c>
      <c r="G9">
        <f>A9+$X$5*(B9+$X$6*E9)</f>
        <v>-9776.7058585000013</v>
      </c>
      <c r="H9">
        <f>IF(IF(G9&lt;-$X$7,-$X$7,G9)&gt;$X$7,$X$7,IF(G9&lt;-$X$7,-$X$7,G9))</f>
        <v>-9776.7058585000013</v>
      </c>
      <c r="I9">
        <f t="shared" si="2"/>
        <v>-17728.275958500002</v>
      </c>
      <c r="J9">
        <f t="shared" si="3"/>
        <v>-10000</v>
      </c>
      <c r="L9">
        <f t="shared" si="13"/>
        <v>10000</v>
      </c>
      <c r="M9">
        <f>8-2.375015</f>
        <v>5.6249850000000006</v>
      </c>
      <c r="N9">
        <f t="shared" si="11"/>
        <v>5.7577699999999998</v>
      </c>
      <c r="O9">
        <f t="shared" si="4"/>
        <v>14062.462500000001</v>
      </c>
      <c r="P9">
        <f t="shared" si="5"/>
        <v>-239.01299999999867</v>
      </c>
      <c r="Q9">
        <f t="shared" si="6"/>
        <v>11434.371175</v>
      </c>
      <c r="R9">
        <f t="shared" si="7"/>
        <v>10611.568922500004</v>
      </c>
      <c r="S9">
        <f t="shared" si="12"/>
        <v>10000</v>
      </c>
      <c r="T9">
        <f t="shared" si="8"/>
        <v>23823.449500000002</v>
      </c>
      <c r="U9">
        <f t="shared" si="9"/>
        <v>10000</v>
      </c>
    </row>
    <row r="10" spans="1:24" x14ac:dyDescent="0.3">
      <c r="A10">
        <f>H9</f>
        <v>-9776.7058585000013</v>
      </c>
      <c r="B10">
        <f>-8+4.853655</f>
        <v>-3.1463450000000002</v>
      </c>
      <c r="C10">
        <f t="shared" si="10"/>
        <v>-3.2892890000000001</v>
      </c>
      <c r="D10">
        <f t="shared" si="0"/>
        <v>-7865.8625000000002</v>
      </c>
      <c r="E10">
        <f>$X$4*(B10-C10)</f>
        <v>257.29919999999993</v>
      </c>
      <c r="F10">
        <f t="shared" si="1"/>
        <v>-10579.023833500001</v>
      </c>
      <c r="G10">
        <f>A10+$X$5*(B10+$X$6*E10)</f>
        <v>-9693.2713375000021</v>
      </c>
      <c r="H10">
        <f>IF(IF(G10&lt;-$X$7,-$X$7,G10)&gt;$X$7,$X$7,IF(G10&lt;-$X$7,-$X$7,G10))</f>
        <v>-9693.2713375000021</v>
      </c>
      <c r="I10">
        <f t="shared" si="2"/>
        <v>-17301.8346375</v>
      </c>
      <c r="J10">
        <f t="shared" si="3"/>
        <v>-10000</v>
      </c>
      <c r="L10">
        <f t="shared" si="13"/>
        <v>10000</v>
      </c>
      <c r="M10">
        <f>8-2.5034</f>
        <v>5.4965999999999999</v>
      </c>
      <c r="N10">
        <f t="shared" si="11"/>
        <v>5.6249850000000006</v>
      </c>
      <c r="O10">
        <f t="shared" si="4"/>
        <v>13741.5</v>
      </c>
      <c r="P10">
        <f t="shared" si="5"/>
        <v>-231.09300000000115</v>
      </c>
      <c r="Q10">
        <f t="shared" si="6"/>
        <v>11401.633</v>
      </c>
      <c r="R10">
        <f t="shared" si="7"/>
        <v>10606.095347499995</v>
      </c>
      <c r="S10">
        <f t="shared" si="12"/>
        <v>10000</v>
      </c>
      <c r="T10">
        <f t="shared" si="8"/>
        <v>23510.406999999999</v>
      </c>
      <c r="U10">
        <f t="shared" si="9"/>
        <v>10000</v>
      </c>
    </row>
    <row r="11" spans="1:24" x14ac:dyDescent="0.3">
      <c r="A11">
        <f>H10</f>
        <v>-9693.2713375000021</v>
      </c>
      <c r="B11">
        <f>-8+5.007627</f>
        <v>-2.9923729999999997</v>
      </c>
      <c r="C11">
        <f t="shared" si="10"/>
        <v>-3.1463450000000002</v>
      </c>
      <c r="D11">
        <f t="shared" si="0"/>
        <v>-7480.932499999999</v>
      </c>
      <c r="E11">
        <f>$X$4*(B11-C11)</f>
        <v>277.14960000000082</v>
      </c>
      <c r="F11">
        <f t="shared" si="1"/>
        <v>-10456.326452500001</v>
      </c>
      <c r="G11">
        <f>A11+$X$5*(B11+$X$6*E11)</f>
        <v>-9502.2389544999987</v>
      </c>
      <c r="H11">
        <f>IF(IF(G11&lt;-$X$7,-$X$7,G11)&gt;$X$7,$X$7,IF(G11&lt;-$X$7,-$X$7,G11))</f>
        <v>-9502.2389544999987</v>
      </c>
      <c r="I11">
        <f t="shared" si="2"/>
        <v>-16706.021854499999</v>
      </c>
      <c r="J11">
        <f t="shared" si="3"/>
        <v>-10000</v>
      </c>
      <c r="L11">
        <f t="shared" si="13"/>
        <v>10000</v>
      </c>
      <c r="M11">
        <f>8-2.633937</f>
        <v>5.3660630000000005</v>
      </c>
      <c r="N11">
        <f t="shared" si="11"/>
        <v>5.4965999999999999</v>
      </c>
      <c r="O11">
        <f t="shared" si="4"/>
        <v>13415.157500000001</v>
      </c>
      <c r="P11">
        <f t="shared" si="5"/>
        <v>-234.96659999999903</v>
      </c>
      <c r="Q11">
        <f t="shared" si="6"/>
        <v>11368.346065</v>
      </c>
      <c r="R11">
        <f t="shared" si="7"/>
        <v>10559.473544500004</v>
      </c>
      <c r="S11">
        <f t="shared" si="12"/>
        <v>10000</v>
      </c>
      <c r="T11">
        <f t="shared" si="8"/>
        <v>23180.190900000001</v>
      </c>
      <c r="U11">
        <f t="shared" si="9"/>
        <v>10000</v>
      </c>
    </row>
    <row r="12" spans="1:24" x14ac:dyDescent="0.3">
      <c r="A12">
        <f>H11</f>
        <v>-9502.2389544999987</v>
      </c>
      <c r="B12">
        <f>-8+5.14566</f>
        <v>-2.8543399999999997</v>
      </c>
      <c r="C12">
        <f t="shared" si="10"/>
        <v>-2.9923729999999997</v>
      </c>
      <c r="D12">
        <f t="shared" si="0"/>
        <v>-7135.8499999999995</v>
      </c>
      <c r="E12">
        <f>$X$4*(B12-C12)</f>
        <v>248.45940000000013</v>
      </c>
      <c r="F12">
        <f t="shared" si="1"/>
        <v>-10230.095654499999</v>
      </c>
      <c r="G12">
        <f>A12+$X$5*(B12+$X$6*E12)</f>
        <v>-9374.7741699999988</v>
      </c>
      <c r="H12">
        <f>IF(IF(G12&lt;-$X$7,-$X$7,G12)&gt;$X$7,$X$7,IF(G12&lt;-$X$7,-$X$7,G12))</f>
        <v>-9374.7741699999988</v>
      </c>
      <c r="I12">
        <f t="shared" si="2"/>
        <v>-16262.164769999999</v>
      </c>
      <c r="J12">
        <f t="shared" si="3"/>
        <v>-10000</v>
      </c>
      <c r="L12">
        <f t="shared" si="13"/>
        <v>10000</v>
      </c>
      <c r="M12">
        <f>8-2.752292</f>
        <v>5.2477079999999994</v>
      </c>
      <c r="N12">
        <f t="shared" si="11"/>
        <v>5.3660630000000005</v>
      </c>
      <c r="O12">
        <f t="shared" si="4"/>
        <v>13119.269999999999</v>
      </c>
      <c r="P12">
        <f t="shared" si="5"/>
        <v>-213.03900000000198</v>
      </c>
      <c r="Q12">
        <f t="shared" si="6"/>
        <v>11338.16554</v>
      </c>
      <c r="R12">
        <f t="shared" si="7"/>
        <v>10604.778782499992</v>
      </c>
      <c r="S12">
        <f t="shared" si="12"/>
        <v>10000</v>
      </c>
      <c r="T12">
        <f t="shared" si="8"/>
        <v>22906.230999999996</v>
      </c>
      <c r="U12">
        <f t="shared" si="9"/>
        <v>10000</v>
      </c>
    </row>
    <row r="13" spans="1:24" x14ac:dyDescent="0.3">
      <c r="A13">
        <f>H12</f>
        <v>-9374.7741699999988</v>
      </c>
      <c r="B13">
        <f>-8+5.289189</f>
        <v>-2.7108109999999996</v>
      </c>
      <c r="C13">
        <f t="shared" si="10"/>
        <v>-2.8543399999999997</v>
      </c>
      <c r="D13">
        <f t="shared" si="0"/>
        <v>-6777.0274999999992</v>
      </c>
      <c r="E13">
        <f>$X$4*(B13-C13)</f>
        <v>258.35220000000004</v>
      </c>
      <c r="F13">
        <f t="shared" si="1"/>
        <v>-10066.030974999998</v>
      </c>
      <c r="G13">
        <f>A13+$X$5*(B13+$X$6*E13)</f>
        <v>-9176.6535264999984</v>
      </c>
      <c r="H13">
        <f>IF(IF(G13&lt;-$X$7,-$X$7,G13)&gt;$X$7,$X$7,IF(G13&lt;-$X$7,-$X$7,G13))</f>
        <v>-9176.6535264999984</v>
      </c>
      <c r="I13">
        <f t="shared" si="2"/>
        <v>-15695.328826499999</v>
      </c>
      <c r="J13">
        <f>IF(IF(I13&gt;$X$8,$X$8,I13)&lt;-$X$8,-$X$8,IF(I13&gt;$X$8,$X$8,I13))</f>
        <v>-10000</v>
      </c>
      <c r="L13">
        <f t="shared" si="13"/>
        <v>10000</v>
      </c>
      <c r="M13">
        <f>8-2.86799</f>
        <v>5.1320100000000002</v>
      </c>
      <c r="N13">
        <f t="shared" si="11"/>
        <v>5.2477079999999994</v>
      </c>
      <c r="O13">
        <f t="shared" si="4"/>
        <v>12830.025</v>
      </c>
      <c r="P13">
        <f t="shared" si="5"/>
        <v>-208.25639999999854</v>
      </c>
      <c r="Q13">
        <f t="shared" si="6"/>
        <v>11308.662550000001</v>
      </c>
      <c r="R13">
        <f t="shared" si="7"/>
        <v>10591.739893000005</v>
      </c>
      <c r="S13">
        <f t="shared" si="12"/>
        <v>10000</v>
      </c>
      <c r="T13">
        <f t="shared" si="8"/>
        <v>22621.768600000003</v>
      </c>
      <c r="U13">
        <f>IF(IF(T13&gt;$X$8,$X$8,T13)&lt;-$X$8,-$X$8,IF(T13&gt;$X$8,$X$8,T13))</f>
        <v>10000</v>
      </c>
    </row>
    <row r="14" spans="1:24" x14ac:dyDescent="0.3">
      <c r="A14">
        <f>H13</f>
        <v>-9176.6535264999984</v>
      </c>
      <c r="B14">
        <f>-8+5.434526</f>
        <v>-2.565474</v>
      </c>
      <c r="C14">
        <f t="shared" si="10"/>
        <v>-2.7108109999999996</v>
      </c>
      <c r="D14">
        <f t="shared" si="0"/>
        <v>-6413.6850000000004</v>
      </c>
      <c r="E14">
        <f>$X$4*(B14-C14)</f>
        <v>261.60659999999928</v>
      </c>
      <c r="F14">
        <f t="shared" si="1"/>
        <v>-9830.849396499998</v>
      </c>
      <c r="G14">
        <f>A14+$X$5*(B14+$X$6*E14)</f>
        <v>-8930.2686760000015</v>
      </c>
      <c r="H14">
        <f>IF(IF(G14&lt;-$X$7,-$X$7,G14)&gt;$X$7,$X$7,IF(G14&lt;-$X$7,-$X$7,G14))</f>
        <v>-8930.2686760000015</v>
      </c>
      <c r="I14">
        <f t="shared" si="2"/>
        <v>-15082.347076000002</v>
      </c>
      <c r="J14">
        <f t="shared" si="3"/>
        <v>-10000</v>
      </c>
      <c r="L14">
        <f t="shared" si="13"/>
        <v>10000</v>
      </c>
      <c r="M14">
        <f>8-2.972843</f>
        <v>5.0271569999999999</v>
      </c>
      <c r="N14">
        <f t="shared" si="11"/>
        <v>5.1320100000000002</v>
      </c>
      <c r="O14">
        <f t="shared" si="4"/>
        <v>12567.8925</v>
      </c>
      <c r="P14">
        <f t="shared" si="5"/>
        <v>-188.73540000000054</v>
      </c>
      <c r="Q14">
        <f t="shared" si="6"/>
        <v>11281.925035</v>
      </c>
      <c r="R14">
        <f t="shared" si="7"/>
        <v>10632.203420499998</v>
      </c>
      <c r="S14">
        <f t="shared" si="12"/>
        <v>10000</v>
      </c>
      <c r="T14">
        <f t="shared" si="8"/>
        <v>22379.1571</v>
      </c>
      <c r="U14">
        <f t="shared" si="9"/>
        <v>10000</v>
      </c>
    </row>
    <row r="15" spans="1:24" x14ac:dyDescent="0.3">
      <c r="L15">
        <f t="shared" si="13"/>
        <v>10000</v>
      </c>
      <c r="M15">
        <f>8-3.083271</f>
        <v>4.9167290000000001</v>
      </c>
      <c r="N15">
        <f t="shared" si="11"/>
        <v>5.0271569999999999</v>
      </c>
      <c r="O15">
        <f t="shared" si="4"/>
        <v>12291.8225</v>
      </c>
      <c r="P15">
        <f t="shared" si="5"/>
        <v>-198.77039999999954</v>
      </c>
      <c r="Q15">
        <f t="shared" si="6"/>
        <v>11253.765895</v>
      </c>
      <c r="R15">
        <f t="shared" si="7"/>
        <v>10569.498793000002</v>
      </c>
      <c r="S15">
        <f t="shared" si="12"/>
        <v>10000</v>
      </c>
      <c r="T15">
        <f t="shared" si="8"/>
        <v>22093.052100000001</v>
      </c>
      <c r="U15">
        <f t="shared" si="9"/>
        <v>10000</v>
      </c>
    </row>
    <row r="16" spans="1:24" x14ac:dyDescent="0.3">
      <c r="L16">
        <f t="shared" si="13"/>
        <v>10000</v>
      </c>
      <c r="M16">
        <f>8-3.185885</f>
        <v>4.8141150000000001</v>
      </c>
      <c r="N16">
        <f t="shared" si="11"/>
        <v>4.9167290000000001</v>
      </c>
      <c r="O16">
        <f t="shared" si="4"/>
        <v>12035.2875</v>
      </c>
      <c r="P16">
        <f t="shared" si="5"/>
        <v>-184.70519999999996</v>
      </c>
      <c r="Q16">
        <f t="shared" si="6"/>
        <v>11227.599324999999</v>
      </c>
      <c r="R16">
        <f t="shared" si="7"/>
        <v>10591.751674000001</v>
      </c>
      <c r="S16">
        <f t="shared" si="12"/>
        <v>10000</v>
      </c>
      <c r="T16">
        <f t="shared" si="8"/>
        <v>21850.582299999998</v>
      </c>
      <c r="U16">
        <f t="shared" si="9"/>
        <v>10000</v>
      </c>
    </row>
    <row r="17" spans="12:21" x14ac:dyDescent="0.3">
      <c r="L17">
        <f t="shared" si="13"/>
        <v>10000</v>
      </c>
      <c r="M17">
        <f>8-3.283938</f>
        <v>4.716062</v>
      </c>
      <c r="N17">
        <f t="shared" si="11"/>
        <v>4.8141150000000001</v>
      </c>
      <c r="O17">
        <f t="shared" si="4"/>
        <v>11790.155000000001</v>
      </c>
      <c r="P17">
        <f t="shared" si="5"/>
        <v>-176.4954000000003</v>
      </c>
      <c r="Q17">
        <f t="shared" si="6"/>
        <v>11202.595810000001</v>
      </c>
      <c r="R17">
        <f t="shared" si="7"/>
        <v>10595.0103955</v>
      </c>
      <c r="S17">
        <f t="shared" si="12"/>
        <v>10000</v>
      </c>
      <c r="T17">
        <f t="shared" si="8"/>
        <v>21613.659599999999</v>
      </c>
      <c r="U17">
        <f t="shared" si="9"/>
        <v>10000</v>
      </c>
    </row>
  </sheetData>
  <mergeCells count="3">
    <mergeCell ref="A1:J1"/>
    <mergeCell ref="L1:U1"/>
    <mergeCell ref="W2:X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19398</dc:creator>
  <cp:lastModifiedBy>19398</cp:lastModifiedBy>
  <dcterms:created xsi:type="dcterms:W3CDTF">2022-01-12T16:04:01Z</dcterms:created>
  <dcterms:modified xsi:type="dcterms:W3CDTF">2022-01-12T19:15:17Z</dcterms:modified>
</cp:coreProperties>
</file>