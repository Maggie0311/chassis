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ORATORY\HERO\Super_Capacitor\New_scp\rm2023-ec\hero_-stm32-f334_-scap\"/>
    </mc:Choice>
  </mc:AlternateContent>
  <xr:revisionPtr revIDLastSave="0" documentId="13_ncr:1_{446EF8B5-9E5F-4D8B-A7C5-56DCE5C07D7A}" xr6:coauthVersionLast="47" xr6:coauthVersionMax="47" xr10:uidLastSave="{00000000-0000-0000-0000-000000000000}"/>
  <bookViews>
    <workbookView xWindow="-120" yWindow="-120" windowWidth="29040" windowHeight="15840" activeTab="2" xr2:uid="{5E8D8FE9-6625-4AD3-AAD4-56B2672D139D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2" l="1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4" i="2"/>
</calcChain>
</file>

<file path=xl/sharedStrings.xml><?xml version="1.0" encoding="utf-8"?>
<sst xmlns="http://schemas.openxmlformats.org/spreadsheetml/2006/main" count="16" uniqueCount="13">
  <si>
    <t>电源电压测量值</t>
    <phoneticPr fontId="1" type="noConversion"/>
  </si>
  <si>
    <t>实际电源电压</t>
    <phoneticPr fontId="1" type="noConversion"/>
  </si>
  <si>
    <t>电容电压测量值</t>
    <phoneticPr fontId="1" type="noConversion"/>
  </si>
  <si>
    <t>实际电容电压</t>
    <phoneticPr fontId="1" type="noConversion"/>
  </si>
  <si>
    <t>输入电流测量值</t>
    <phoneticPr fontId="1" type="noConversion"/>
  </si>
  <si>
    <t>实际输入电流</t>
    <phoneticPr fontId="1" type="noConversion"/>
  </si>
  <si>
    <t>IH</t>
    <phoneticPr fontId="1" type="noConversion"/>
  </si>
  <si>
    <t>Ire</t>
    <phoneticPr fontId="1" type="noConversion"/>
  </si>
  <si>
    <t>IIN</t>
    <phoneticPr fontId="1" type="noConversion"/>
  </si>
  <si>
    <t>IBH</t>
    <phoneticPr fontId="1" type="noConversion"/>
  </si>
  <si>
    <t>Ure</t>
    <phoneticPr fontId="1" type="noConversion"/>
  </si>
  <si>
    <t>UIN</t>
    <phoneticPr fontId="1" type="noConversion"/>
  </si>
  <si>
    <t>UCAP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</si>
</sst>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电源电压测量曲线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电源电压测量值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10"/>
            <c:backward val="25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Sheet1!$A$2:$A$13</c:f>
              <c:numCache>
                <c:formatCode>General</c:formatCode>
                <c:ptCount val="12"/>
                <c:pt idx="0">
                  <c:v>24.023399999999999</c:v>
                </c:pt>
                <c:pt idx="1">
                  <c:v>24.518999999999998</c:v>
                </c:pt>
                <c:pt idx="2">
                  <c:v>25.116800000000001</c:v>
                </c:pt>
                <c:pt idx="3">
                  <c:v>25.520499999999998</c:v>
                </c:pt>
                <c:pt idx="4">
                  <c:v>26.014800000000001</c:v>
                </c:pt>
                <c:pt idx="5">
                  <c:v>26.5336</c:v>
                </c:pt>
                <c:pt idx="6">
                  <c:v>27.025300000000001</c:v>
                </c:pt>
                <c:pt idx="7">
                  <c:v>23.5045</c:v>
                </c:pt>
                <c:pt idx="8">
                  <c:v>22.994700000000002</c:v>
                </c:pt>
                <c:pt idx="9">
                  <c:v>22.505600000000001</c:v>
                </c:pt>
                <c:pt idx="10">
                  <c:v>22.0229</c:v>
                </c:pt>
                <c:pt idx="11">
                  <c:v>21.5002</c:v>
                </c:pt>
              </c:numCache>
            </c:numRef>
          </c:xVal>
          <c:yVal>
            <c:numRef>
              <c:f>Sheet1!$B$2:$B$13</c:f>
              <c:numCache>
                <c:formatCode>General</c:formatCode>
                <c:ptCount val="12"/>
                <c:pt idx="0">
                  <c:v>24</c:v>
                </c:pt>
                <c:pt idx="1">
                  <c:v>24.5</c:v>
                </c:pt>
                <c:pt idx="2">
                  <c:v>25.1</c:v>
                </c:pt>
                <c:pt idx="3">
                  <c:v>25.5</c:v>
                </c:pt>
                <c:pt idx="4">
                  <c:v>26</c:v>
                </c:pt>
                <c:pt idx="5">
                  <c:v>26.5</c:v>
                </c:pt>
                <c:pt idx="6">
                  <c:v>27</c:v>
                </c:pt>
                <c:pt idx="7">
                  <c:v>23.5</c:v>
                </c:pt>
                <c:pt idx="8">
                  <c:v>23</c:v>
                </c:pt>
                <c:pt idx="9">
                  <c:v>22.5</c:v>
                </c:pt>
                <c:pt idx="10">
                  <c:v>22</c:v>
                </c:pt>
                <c:pt idx="11">
                  <c:v>21.5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951-4355-B789-F51860F80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8023407"/>
        <c:axId val="1928027567"/>
      </c:scatterChart>
      <c:valAx>
        <c:axId val="1928023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采样得到的电压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28027567"/>
        <c:crosses val="autoZero"/>
        <c:crossBetween val="midCat"/>
      </c:valAx>
      <c:valAx>
        <c:axId val="192802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实际输入电压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28023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电容电压测量曲线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15"/>
            <c:backward val="3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Sheet1!$D$2:$D$28</c:f>
              <c:numCache>
                <c:formatCode>General</c:formatCode>
                <c:ptCount val="27"/>
                <c:pt idx="0">
                  <c:v>23.9833</c:v>
                </c:pt>
                <c:pt idx="1">
                  <c:v>24.451699999999999</c:v>
                </c:pt>
                <c:pt idx="2">
                  <c:v>25.077999999999999</c:v>
                </c:pt>
                <c:pt idx="3">
                  <c:v>25.5412</c:v>
                </c:pt>
                <c:pt idx="4">
                  <c:v>26.067799999999998</c:v>
                </c:pt>
                <c:pt idx="5">
                  <c:v>26.7666</c:v>
                </c:pt>
                <c:pt idx="6">
                  <c:v>27.365600000000001</c:v>
                </c:pt>
                <c:pt idx="7">
                  <c:v>27.854800000000001</c:v>
                </c:pt>
                <c:pt idx="8">
                  <c:v>28.368500000000001</c:v>
                </c:pt>
                <c:pt idx="9">
                  <c:v>28.961099999999998</c:v>
                </c:pt>
                <c:pt idx="10">
                  <c:v>29.465699999999998</c:v>
                </c:pt>
                <c:pt idx="11">
                  <c:v>30.1554</c:v>
                </c:pt>
                <c:pt idx="12">
                  <c:v>30.965399999999999</c:v>
                </c:pt>
                <c:pt idx="13">
                  <c:v>31.5749</c:v>
                </c:pt>
                <c:pt idx="14">
                  <c:v>31.9773</c:v>
                </c:pt>
                <c:pt idx="15">
                  <c:v>20.963200000000001</c:v>
                </c:pt>
                <c:pt idx="16">
                  <c:v>18.969200000000001</c:v>
                </c:pt>
                <c:pt idx="17">
                  <c:v>16.954599999999999</c:v>
                </c:pt>
                <c:pt idx="18">
                  <c:v>14.947699999999999</c:v>
                </c:pt>
                <c:pt idx="19">
                  <c:v>12.955</c:v>
                </c:pt>
                <c:pt idx="20">
                  <c:v>10.952</c:v>
                </c:pt>
                <c:pt idx="21">
                  <c:v>8.9373000000000005</c:v>
                </c:pt>
                <c:pt idx="22">
                  <c:v>6.9406999999999996</c:v>
                </c:pt>
                <c:pt idx="23">
                  <c:v>4.9493</c:v>
                </c:pt>
                <c:pt idx="24">
                  <c:v>2.9630999999999998</c:v>
                </c:pt>
                <c:pt idx="25">
                  <c:v>0.96789999999999998</c:v>
                </c:pt>
                <c:pt idx="26">
                  <c:v>7.4999999999999997E-2</c:v>
                </c:pt>
              </c:numCache>
            </c:numRef>
          </c:xVal>
          <c:yVal>
            <c:numRef>
              <c:f>Sheet1!$E$2:$E$28</c:f>
              <c:numCache>
                <c:formatCode>General</c:formatCode>
                <c:ptCount val="27"/>
                <c:pt idx="0">
                  <c:v>24</c:v>
                </c:pt>
                <c:pt idx="1">
                  <c:v>24.5</c:v>
                </c:pt>
                <c:pt idx="2">
                  <c:v>25.1</c:v>
                </c:pt>
                <c:pt idx="3">
                  <c:v>25.6</c:v>
                </c:pt>
                <c:pt idx="4">
                  <c:v>26.1</c:v>
                </c:pt>
                <c:pt idx="5">
                  <c:v>26.8</c:v>
                </c:pt>
                <c:pt idx="6">
                  <c:v>27.4</c:v>
                </c:pt>
                <c:pt idx="7">
                  <c:v>27.9</c:v>
                </c:pt>
                <c:pt idx="8">
                  <c:v>28.4</c:v>
                </c:pt>
                <c:pt idx="9">
                  <c:v>29</c:v>
                </c:pt>
                <c:pt idx="10">
                  <c:v>29.5</c:v>
                </c:pt>
                <c:pt idx="11">
                  <c:v>30.2</c:v>
                </c:pt>
                <c:pt idx="12">
                  <c:v>31</c:v>
                </c:pt>
                <c:pt idx="13">
                  <c:v>31.6</c:v>
                </c:pt>
                <c:pt idx="14">
                  <c:v>32</c:v>
                </c:pt>
                <c:pt idx="15">
                  <c:v>21</c:v>
                </c:pt>
                <c:pt idx="16">
                  <c:v>19</c:v>
                </c:pt>
                <c:pt idx="17">
                  <c:v>17</c:v>
                </c:pt>
                <c:pt idx="18">
                  <c:v>15</c:v>
                </c:pt>
                <c:pt idx="19">
                  <c:v>13</c:v>
                </c:pt>
                <c:pt idx="20">
                  <c:v>11</c:v>
                </c:pt>
                <c:pt idx="21">
                  <c:v>9</c:v>
                </c:pt>
                <c:pt idx="22">
                  <c:v>7</c:v>
                </c:pt>
                <c:pt idx="23">
                  <c:v>5</c:v>
                </c:pt>
                <c:pt idx="24">
                  <c:v>3.01</c:v>
                </c:pt>
                <c:pt idx="25">
                  <c:v>1.01</c:v>
                </c:pt>
                <c:pt idx="26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C9-4AD7-A487-0B0695FFA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6965119"/>
        <c:axId val="1876965535"/>
      </c:scatterChart>
      <c:valAx>
        <c:axId val="1876965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采样得到的电压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76965535"/>
        <c:crosses val="autoZero"/>
        <c:crossBetween val="midCat"/>
      </c:valAx>
      <c:valAx>
        <c:axId val="1876965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实际电容电压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76965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输入电流测量曲线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0"/>
            <c:backward val="25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Sheet1!$G$2:$G$11</c:f>
              <c:numCache>
                <c:formatCode>General</c:formatCode>
                <c:ptCount val="10"/>
                <c:pt idx="0">
                  <c:v>0.57399999999999995</c:v>
                </c:pt>
                <c:pt idx="1">
                  <c:v>0.84260000000000002</c:v>
                </c:pt>
                <c:pt idx="2">
                  <c:v>0.91979999999999995</c:v>
                </c:pt>
                <c:pt idx="3">
                  <c:v>0.98019999999999996</c:v>
                </c:pt>
                <c:pt idx="4">
                  <c:v>1.044</c:v>
                </c:pt>
                <c:pt idx="5">
                  <c:v>1.1145</c:v>
                </c:pt>
                <c:pt idx="6">
                  <c:v>1.2454000000000001</c:v>
                </c:pt>
                <c:pt idx="7">
                  <c:v>1.3595999999999999</c:v>
                </c:pt>
                <c:pt idx="8">
                  <c:v>1.6113</c:v>
                </c:pt>
                <c:pt idx="9">
                  <c:v>1.8732</c:v>
                </c:pt>
              </c:numCache>
            </c:numRef>
          </c:xVal>
          <c:yVal>
            <c:numRef>
              <c:f>Sheet1!$H$2:$H$11</c:f>
              <c:numCache>
                <c:formatCode>General</c:formatCode>
                <c:ptCount val="10"/>
                <c:pt idx="0">
                  <c:v>3.3000000000000002E-2</c:v>
                </c:pt>
                <c:pt idx="1">
                  <c:v>0.253</c:v>
                </c:pt>
                <c:pt idx="2">
                  <c:v>0.29599999999999999</c:v>
                </c:pt>
                <c:pt idx="3">
                  <c:v>0.33900000000000002</c:v>
                </c:pt>
                <c:pt idx="4">
                  <c:v>0.39800000000000002</c:v>
                </c:pt>
                <c:pt idx="5">
                  <c:v>0.46400000000000002</c:v>
                </c:pt>
                <c:pt idx="6">
                  <c:v>0.58299999999999996</c:v>
                </c:pt>
                <c:pt idx="7">
                  <c:v>0.68899999999999995</c:v>
                </c:pt>
                <c:pt idx="8">
                  <c:v>0.93100000000000005</c:v>
                </c:pt>
                <c:pt idx="9">
                  <c:v>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5F-4ECD-9EB0-FDCF16391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14704"/>
        <c:axId val="51515120"/>
      </c:scatterChart>
      <c:valAx>
        <c:axId val="51514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输入电流测量值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15120"/>
        <c:crosses val="autoZero"/>
        <c:crossBetween val="midCat"/>
      </c:valAx>
      <c:valAx>
        <c:axId val="5151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输入电流实际值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514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15</xdr:row>
      <xdr:rowOff>2359</xdr:rowOff>
    </xdr:from>
    <xdr:to>
      <xdr:col>3</xdr:col>
      <xdr:colOff>9525</xdr:colOff>
      <xdr:row>29</xdr:row>
      <xdr:rowOff>38100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FF73977-1731-E2E3-693E-FF122A90F6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883444</xdr:colOff>
      <xdr:row>28</xdr:row>
      <xdr:rowOff>49847</xdr:rowOff>
    </xdr:from>
    <xdr:to>
      <xdr:col>5</xdr:col>
      <xdr:colOff>190500</xdr:colOff>
      <xdr:row>42</xdr:row>
      <xdr:rowOff>155733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5446520-5455-1151-28AA-8987D41643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148590</xdr:colOff>
      <xdr:row>11</xdr:row>
      <xdr:rowOff>108144</xdr:rowOff>
    </xdr:from>
    <xdr:to>
      <xdr:col>9</xdr:col>
      <xdr:colOff>14263</xdr:colOff>
      <xdr:row>27</xdr:row>
      <xdr:rowOff>119769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C7E4EC73-CE68-C32F-3714-46989AFBB7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561975</xdr:colOff>
      <xdr:row>2</xdr:row>
      <xdr:rowOff>171450</xdr:rowOff>
    </xdr:from>
    <xdr:to>
      <xdr:col>8</xdr:col>
      <xdr:colOff>456870</xdr:colOff>
      <xdr:row>21</xdr:row>
      <xdr:rowOff>123401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8F7E2464-62F4-5A80-3062-C00045C76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5175" y="533400"/>
          <a:ext cx="2638095" cy="339047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647700</xdr:colOff>
      <xdr:row>1</xdr:row>
      <xdr:rowOff>123825</xdr:rowOff>
    </xdr:from>
    <xdr:to>
      <xdr:col>8</xdr:col>
      <xdr:colOff>152033</xdr:colOff>
      <xdr:row>27</xdr:row>
      <xdr:rowOff>113713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5D7EFC6-4BA2-86DA-C2FA-B3AFEE48C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05100" y="304800"/>
          <a:ext cx="2933333" cy="4695238"/>
        </a:xfrm>
        <a:prstGeom prst="rect">
          <a:avLst/>
        </a:prstGeom>
      </xdr:spPr>
    </xdr:pic>
    <xdr:clientData/>
  </xdr:twoCellAnchor>
  <xdr:twoCellAnchor editAs="oneCell">
    <xdr:from>
      <xdr:col>8</xdr:col>
      <xdr:colOff>438150</xdr:colOff>
      <xdr:row>1</xdr:row>
      <xdr:rowOff>161925</xdr:rowOff>
    </xdr:from>
    <xdr:to>
      <xdr:col>12</xdr:col>
      <xdr:colOff>266379</xdr:colOff>
      <xdr:row>28</xdr:row>
      <xdr:rowOff>18457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DAE7A71-21E4-4F6D-6166-6D14275C5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24550" y="342900"/>
          <a:ext cx="2571429" cy="4742857"/>
        </a:xfrm>
        <a:prstGeom prst="rect">
          <a:avLst/>
        </a:prstGeom>
      </xdr:spPr>
    </xdr:pic>
    <xdr:clientData/>
  </xdr:twoCellAnchor>
  <xdr:twoCellAnchor editAs="oneCell">
    <xdr:from>
      <xdr:col>16</xdr:col>
      <xdr:colOff>542925</xdr:colOff>
      <xdr:row>1</xdr:row>
      <xdr:rowOff>0</xdr:rowOff>
    </xdr:from>
    <xdr:to>
      <xdr:col>20</xdr:col>
      <xdr:colOff>333058</xdr:colOff>
      <xdr:row>26</xdr:row>
      <xdr:rowOff>18482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B7869815-12E9-AA26-CF77-4A68C16F3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515725" y="180975"/>
          <a:ext cx="2533333" cy="4542857"/>
        </a:xfrm>
        <a:prstGeom prst="rect">
          <a:avLst/>
        </a:prstGeom>
      </xdr:spPr>
    </xdr:pic>
    <xdr:clientData/>
  </xdr:twoCellAnchor>
  <xdr:twoCellAnchor editAs="oneCell">
    <xdr:from>
      <xdr:col>21</xdr:col>
      <xdr:colOff>28575</xdr:colOff>
      <xdr:row>0</xdr:row>
      <xdr:rowOff>104775</xdr:rowOff>
    </xdr:from>
    <xdr:to>
      <xdr:col>24</xdr:col>
      <xdr:colOff>342604</xdr:colOff>
      <xdr:row>27</xdr:row>
      <xdr:rowOff>94640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2CEE28D3-B701-2819-8912-7040E47AD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430375" y="104775"/>
          <a:ext cx="2371429" cy="4876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9FEE3-2E11-4873-95EB-45038EB5F716}">
  <dimension ref="A1:H28"/>
  <sheetViews>
    <sheetView zoomScale="130" zoomScaleNormal="130" workbookViewId="0">
      <selection activeCell="J11" sqref="J11"/>
    </sheetView>
  </sheetViews>
  <sheetFormatPr defaultRowHeight="14.25" x14ac:dyDescent="0.2"/>
  <cols>
    <col min="1" max="1" width="13.125" customWidth="1"/>
    <col min="2" max="2" width="12" customWidth="1"/>
    <col min="4" max="4" width="13.875" customWidth="1"/>
    <col min="5" max="5" width="11.5" customWidth="1"/>
    <col min="7" max="7" width="13.875" customWidth="1"/>
    <col min="8" max="8" width="12.125" customWidth="1"/>
  </cols>
  <sheetData>
    <row r="1" spans="1:8" x14ac:dyDescent="0.2">
      <c r="A1" t="s">
        <v>0</v>
      </c>
      <c r="B1" t="s">
        <v>1</v>
      </c>
      <c r="D1" t="s">
        <v>2</v>
      </c>
      <c r="E1" t="s">
        <v>3</v>
      </c>
      <c r="G1" t="s">
        <v>4</v>
      </c>
      <c r="H1" t="s">
        <v>5</v>
      </c>
    </row>
    <row r="2" spans="1:8" x14ac:dyDescent="0.2">
      <c r="A2">
        <v>24.023399999999999</v>
      </c>
      <c r="B2">
        <v>24</v>
      </c>
      <c r="D2">
        <v>23.9833</v>
      </c>
      <c r="E2">
        <v>24</v>
      </c>
      <c r="G2">
        <v>0.57399999999999995</v>
      </c>
      <c r="H2">
        <v>3.3000000000000002E-2</v>
      </c>
    </row>
    <row r="3" spans="1:8" x14ac:dyDescent="0.2">
      <c r="A3">
        <v>24.518999999999998</v>
      </c>
      <c r="B3">
        <v>24.5</v>
      </c>
      <c r="D3">
        <v>24.451699999999999</v>
      </c>
      <c r="E3">
        <v>24.5</v>
      </c>
      <c r="G3">
        <v>0.84260000000000002</v>
      </c>
      <c r="H3">
        <v>0.253</v>
      </c>
    </row>
    <row r="4" spans="1:8" x14ac:dyDescent="0.2">
      <c r="A4">
        <v>25.116800000000001</v>
      </c>
      <c r="B4">
        <v>25.1</v>
      </c>
      <c r="D4">
        <v>25.077999999999999</v>
      </c>
      <c r="E4">
        <v>25.1</v>
      </c>
      <c r="G4">
        <v>0.91979999999999995</v>
      </c>
      <c r="H4">
        <v>0.29599999999999999</v>
      </c>
    </row>
    <row r="5" spans="1:8" x14ac:dyDescent="0.2">
      <c r="A5">
        <v>25.520499999999998</v>
      </c>
      <c r="B5">
        <v>25.5</v>
      </c>
      <c r="D5">
        <v>25.5412</v>
      </c>
      <c r="E5">
        <v>25.6</v>
      </c>
      <c r="G5">
        <v>0.98019999999999996</v>
      </c>
      <c r="H5">
        <v>0.33900000000000002</v>
      </c>
    </row>
    <row r="6" spans="1:8" x14ac:dyDescent="0.2">
      <c r="A6">
        <v>26.014800000000001</v>
      </c>
      <c r="B6">
        <v>26</v>
      </c>
      <c r="D6">
        <v>26.067799999999998</v>
      </c>
      <c r="E6">
        <v>26.1</v>
      </c>
      <c r="G6">
        <v>1.044</v>
      </c>
      <c r="H6">
        <v>0.39800000000000002</v>
      </c>
    </row>
    <row r="7" spans="1:8" x14ac:dyDescent="0.2">
      <c r="A7">
        <v>26.5336</v>
      </c>
      <c r="B7">
        <v>26.5</v>
      </c>
      <c r="D7">
        <v>26.7666</v>
      </c>
      <c r="E7">
        <v>26.8</v>
      </c>
      <c r="G7">
        <v>1.1145</v>
      </c>
      <c r="H7">
        <v>0.46400000000000002</v>
      </c>
    </row>
    <row r="8" spans="1:8" x14ac:dyDescent="0.2">
      <c r="A8">
        <v>27.025300000000001</v>
      </c>
      <c r="B8">
        <v>27</v>
      </c>
      <c r="D8">
        <v>27.365600000000001</v>
      </c>
      <c r="E8">
        <v>27.4</v>
      </c>
      <c r="G8">
        <v>1.2454000000000001</v>
      </c>
      <c r="H8">
        <v>0.58299999999999996</v>
      </c>
    </row>
    <row r="9" spans="1:8" x14ac:dyDescent="0.2">
      <c r="A9">
        <v>23.5045</v>
      </c>
      <c r="B9">
        <v>23.5</v>
      </c>
      <c r="D9">
        <v>27.854800000000001</v>
      </c>
      <c r="E9">
        <v>27.9</v>
      </c>
      <c r="G9">
        <v>1.3595999999999999</v>
      </c>
      <c r="H9">
        <v>0.68899999999999995</v>
      </c>
    </row>
    <row r="10" spans="1:8" x14ac:dyDescent="0.2">
      <c r="A10">
        <v>22.994700000000002</v>
      </c>
      <c r="B10">
        <v>23</v>
      </c>
      <c r="D10">
        <v>28.368500000000001</v>
      </c>
      <c r="E10">
        <v>28.4</v>
      </c>
      <c r="G10">
        <v>1.6113</v>
      </c>
      <c r="H10">
        <v>0.93100000000000005</v>
      </c>
    </row>
    <row r="11" spans="1:8" x14ac:dyDescent="0.2">
      <c r="A11">
        <v>22.505600000000001</v>
      </c>
      <c r="B11">
        <v>22.5</v>
      </c>
      <c r="D11">
        <v>28.961099999999998</v>
      </c>
      <c r="E11">
        <v>29</v>
      </c>
      <c r="G11">
        <v>1.8732</v>
      </c>
      <c r="H11">
        <v>1.2</v>
      </c>
    </row>
    <row r="12" spans="1:8" x14ac:dyDescent="0.2">
      <c r="A12">
        <v>22.0229</v>
      </c>
      <c r="B12">
        <v>22</v>
      </c>
      <c r="D12">
        <v>29.465699999999998</v>
      </c>
      <c r="E12">
        <v>29.5</v>
      </c>
    </row>
    <row r="13" spans="1:8" x14ac:dyDescent="0.2">
      <c r="A13">
        <v>21.5002</v>
      </c>
      <c r="B13">
        <v>21.5</v>
      </c>
      <c r="D13">
        <v>30.1554</v>
      </c>
      <c r="E13">
        <v>30.2</v>
      </c>
    </row>
    <row r="14" spans="1:8" x14ac:dyDescent="0.2">
      <c r="D14">
        <v>30.965399999999999</v>
      </c>
      <c r="E14">
        <v>31</v>
      </c>
    </row>
    <row r="15" spans="1:8" x14ac:dyDescent="0.2">
      <c r="D15">
        <v>31.5749</v>
      </c>
      <c r="E15">
        <v>31.6</v>
      </c>
    </row>
    <row r="16" spans="1:8" x14ac:dyDescent="0.2">
      <c r="D16">
        <v>31.9773</v>
      </c>
      <c r="E16">
        <v>32</v>
      </c>
    </row>
    <row r="17" spans="4:5" x14ac:dyDescent="0.2">
      <c r="D17">
        <v>20.963200000000001</v>
      </c>
      <c r="E17">
        <v>21</v>
      </c>
    </row>
    <row r="18" spans="4:5" x14ac:dyDescent="0.2">
      <c r="D18">
        <v>18.969200000000001</v>
      </c>
      <c r="E18">
        <v>19</v>
      </c>
    </row>
    <row r="19" spans="4:5" x14ac:dyDescent="0.2">
      <c r="D19">
        <v>16.954599999999999</v>
      </c>
      <c r="E19">
        <v>17</v>
      </c>
    </row>
    <row r="20" spans="4:5" x14ac:dyDescent="0.2">
      <c r="D20">
        <v>14.947699999999999</v>
      </c>
      <c r="E20">
        <v>15</v>
      </c>
    </row>
    <row r="21" spans="4:5" x14ac:dyDescent="0.2">
      <c r="D21">
        <v>12.955</v>
      </c>
      <c r="E21">
        <v>13</v>
      </c>
    </row>
    <row r="22" spans="4:5" x14ac:dyDescent="0.2">
      <c r="D22">
        <v>10.952</v>
      </c>
      <c r="E22">
        <v>11</v>
      </c>
    </row>
    <row r="23" spans="4:5" x14ac:dyDescent="0.2">
      <c r="D23">
        <v>8.9373000000000005</v>
      </c>
      <c r="E23">
        <v>9</v>
      </c>
    </row>
    <row r="24" spans="4:5" x14ac:dyDescent="0.2">
      <c r="D24">
        <v>6.9406999999999996</v>
      </c>
      <c r="E24">
        <v>7</v>
      </c>
    </row>
    <row r="25" spans="4:5" x14ac:dyDescent="0.2">
      <c r="D25">
        <v>4.9493</v>
      </c>
      <c r="E25">
        <v>5</v>
      </c>
    </row>
    <row r="26" spans="4:5" x14ac:dyDescent="0.2">
      <c r="D26">
        <v>2.9630999999999998</v>
      </c>
      <c r="E26">
        <v>3.01</v>
      </c>
    </row>
    <row r="27" spans="4:5" x14ac:dyDescent="0.2">
      <c r="D27">
        <v>0.96789999999999998</v>
      </c>
      <c r="E27">
        <v>1.01</v>
      </c>
    </row>
    <row r="28" spans="4:5" x14ac:dyDescent="0.2">
      <c r="D28">
        <v>7.4999999999999997E-2</v>
      </c>
      <c r="E28">
        <v>0.1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06F66-92D4-4EAB-B125-399A2FC07FF5}">
  <dimension ref="A1:N26"/>
  <sheetViews>
    <sheetView workbookViewId="0">
      <selection activeCell="D41" sqref="D41"/>
    </sheetView>
  </sheetViews>
  <sheetFormatPr defaultRowHeight="14.25" x14ac:dyDescent="0.2"/>
  <sheetData>
    <row r="1" spans="1:14" x14ac:dyDescent="0.2">
      <c r="A1" t="s">
        <v>6</v>
      </c>
      <c r="B1" t="s">
        <v>7</v>
      </c>
      <c r="K1" t="s">
        <v>8</v>
      </c>
      <c r="L1" t="s">
        <v>7</v>
      </c>
    </row>
    <row r="2" spans="1:14" x14ac:dyDescent="0.2">
      <c r="B2">
        <v>0.1</v>
      </c>
      <c r="K2">
        <v>0.223</v>
      </c>
      <c r="L2">
        <v>0.3</v>
      </c>
      <c r="N2">
        <v>0.246</v>
      </c>
    </row>
    <row r="3" spans="1:14" x14ac:dyDescent="0.2">
      <c r="A3">
        <v>2.5000000000000001E-3</v>
      </c>
      <c r="B3">
        <v>0.2</v>
      </c>
      <c r="K3">
        <v>0.30299999999999999</v>
      </c>
      <c r="L3">
        <v>0.4</v>
      </c>
      <c r="N3">
        <v>0.28699999999999998</v>
      </c>
    </row>
    <row r="4" spans="1:14" x14ac:dyDescent="0.2">
      <c r="A4">
        <v>9.2999999999999999E-2</v>
      </c>
      <c r="B4">
        <v>0.3</v>
      </c>
      <c r="D4">
        <f>1.135*A4+0.197</f>
        <v>0.30255500000000002</v>
      </c>
      <c r="K4">
        <v>0.38900000000000001</v>
      </c>
      <c r="L4">
        <v>0.5</v>
      </c>
      <c r="N4">
        <v>0.4</v>
      </c>
    </row>
    <row r="5" spans="1:14" x14ac:dyDescent="0.2">
      <c r="A5">
        <v>0.18</v>
      </c>
      <c r="B5">
        <v>0.4</v>
      </c>
      <c r="D5">
        <f t="shared" ref="D5:D26" si="0">1.135*A5+0.197</f>
        <v>0.40129999999999999</v>
      </c>
      <c r="K5">
        <v>0.46300000000000002</v>
      </c>
      <c r="L5">
        <v>0.6</v>
      </c>
      <c r="N5">
        <v>0.46300000000000002</v>
      </c>
    </row>
    <row r="6" spans="1:14" x14ac:dyDescent="0.2">
      <c r="A6">
        <v>0.26400000000000001</v>
      </c>
      <c r="B6">
        <v>0.5</v>
      </c>
      <c r="D6">
        <f t="shared" si="0"/>
        <v>0.49664000000000003</v>
      </c>
      <c r="K6">
        <v>0.54400000000000004</v>
      </c>
      <c r="L6">
        <v>0.7</v>
      </c>
      <c r="N6">
        <v>0.54400000000000004</v>
      </c>
    </row>
    <row r="7" spans="1:14" x14ac:dyDescent="0.2">
      <c r="A7">
        <v>0.35499999999999998</v>
      </c>
      <c r="B7">
        <v>0.6</v>
      </c>
      <c r="D7">
        <f t="shared" si="0"/>
        <v>0.59992500000000004</v>
      </c>
      <c r="K7">
        <v>0.627</v>
      </c>
      <c r="L7">
        <v>0.8</v>
      </c>
    </row>
    <row r="8" spans="1:14" x14ac:dyDescent="0.2">
      <c r="A8">
        <v>0.443</v>
      </c>
      <c r="B8">
        <v>0.7</v>
      </c>
      <c r="D8">
        <f t="shared" si="0"/>
        <v>0.69980500000000001</v>
      </c>
      <c r="K8">
        <v>0.70199999999999996</v>
      </c>
      <c r="L8">
        <v>0.9</v>
      </c>
    </row>
    <row r="9" spans="1:14" x14ac:dyDescent="0.2">
      <c r="A9">
        <v>0.53200000000000003</v>
      </c>
      <c r="B9">
        <v>0.8</v>
      </c>
      <c r="D9">
        <f t="shared" si="0"/>
        <v>0.80082000000000009</v>
      </c>
      <c r="K9">
        <v>0.79600000000000004</v>
      </c>
      <c r="L9">
        <v>1</v>
      </c>
    </row>
    <row r="10" spans="1:14" x14ac:dyDescent="0.2">
      <c r="A10">
        <v>0.61599999999999999</v>
      </c>
      <c r="B10">
        <v>0.9</v>
      </c>
      <c r="D10">
        <f t="shared" si="0"/>
        <v>0.89616000000000007</v>
      </c>
      <c r="K10">
        <v>0.86899999999999999</v>
      </c>
      <c r="L10">
        <v>1.1000000000000001</v>
      </c>
    </row>
    <row r="11" spans="1:14" x14ac:dyDescent="0.2">
      <c r="A11">
        <v>0.71099999999999997</v>
      </c>
      <c r="B11">
        <v>1</v>
      </c>
      <c r="D11">
        <f t="shared" si="0"/>
        <v>1.0039849999999999</v>
      </c>
      <c r="K11">
        <v>0.95899999999999996</v>
      </c>
      <c r="L11">
        <v>1.2</v>
      </c>
    </row>
    <row r="12" spans="1:14" x14ac:dyDescent="0.2">
      <c r="A12">
        <v>0.79500000000000004</v>
      </c>
      <c r="B12">
        <v>1.1000000000000001</v>
      </c>
      <c r="D12">
        <f t="shared" si="0"/>
        <v>1.0993250000000001</v>
      </c>
      <c r="K12">
        <v>1.0349999999999999</v>
      </c>
      <c r="L12">
        <v>1.3</v>
      </c>
    </row>
    <row r="13" spans="1:14" x14ac:dyDescent="0.2">
      <c r="A13">
        <v>0.88500000000000001</v>
      </c>
      <c r="B13">
        <v>1.2</v>
      </c>
      <c r="D13">
        <f t="shared" si="0"/>
        <v>1.2014750000000001</v>
      </c>
      <c r="K13">
        <v>1.125</v>
      </c>
      <c r="L13">
        <v>1.4</v>
      </c>
    </row>
    <row r="14" spans="1:14" x14ac:dyDescent="0.2">
      <c r="A14">
        <v>0.97199999999999998</v>
      </c>
      <c r="B14">
        <v>1.3</v>
      </c>
      <c r="D14">
        <f t="shared" si="0"/>
        <v>1.3002200000000002</v>
      </c>
      <c r="K14">
        <v>1.2030000000000001</v>
      </c>
      <c r="L14">
        <v>1.5</v>
      </c>
    </row>
    <row r="15" spans="1:14" x14ac:dyDescent="0.2">
      <c r="A15">
        <v>1.0580000000000001</v>
      </c>
      <c r="B15">
        <v>1.4</v>
      </c>
      <c r="D15">
        <f t="shared" si="0"/>
        <v>1.3978300000000001</v>
      </c>
      <c r="K15">
        <v>1.2889999999999999</v>
      </c>
      <c r="L15">
        <v>1.6</v>
      </c>
    </row>
    <row r="16" spans="1:14" x14ac:dyDescent="0.2">
      <c r="A16">
        <v>1.1499999999999999</v>
      </c>
      <c r="B16">
        <v>1.5</v>
      </c>
      <c r="D16">
        <f t="shared" si="0"/>
        <v>1.5022499999999999</v>
      </c>
      <c r="K16">
        <v>1.3540000000000001</v>
      </c>
      <c r="L16">
        <v>1.7</v>
      </c>
    </row>
    <row r="17" spans="1:12" x14ac:dyDescent="0.2">
      <c r="A17">
        <v>1.2350000000000001</v>
      </c>
      <c r="B17">
        <v>1.6</v>
      </c>
      <c r="D17">
        <f t="shared" si="0"/>
        <v>1.5987250000000002</v>
      </c>
      <c r="K17">
        <v>1.4370000000000001</v>
      </c>
      <c r="L17">
        <v>1.8</v>
      </c>
    </row>
    <row r="18" spans="1:12" x14ac:dyDescent="0.2">
      <c r="A18">
        <v>1.3260000000000001</v>
      </c>
      <c r="B18">
        <v>1.7</v>
      </c>
      <c r="D18">
        <f t="shared" si="0"/>
        <v>1.7020100000000002</v>
      </c>
      <c r="K18">
        <v>1.5249999999999999</v>
      </c>
      <c r="L18">
        <v>1.9</v>
      </c>
    </row>
    <row r="19" spans="1:12" x14ac:dyDescent="0.2">
      <c r="A19">
        <v>1.413</v>
      </c>
      <c r="B19">
        <v>1.8</v>
      </c>
      <c r="D19">
        <f t="shared" si="0"/>
        <v>1.8007550000000001</v>
      </c>
      <c r="K19">
        <v>1.6140000000000001</v>
      </c>
      <c r="L19">
        <v>2</v>
      </c>
    </row>
    <row r="20" spans="1:12" x14ac:dyDescent="0.2">
      <c r="A20">
        <v>1.5029999999999999</v>
      </c>
      <c r="B20">
        <v>1.9</v>
      </c>
      <c r="D20">
        <f t="shared" si="0"/>
        <v>1.9029049999999998</v>
      </c>
      <c r="K20">
        <v>1.71</v>
      </c>
      <c r="L20">
        <v>2.1</v>
      </c>
    </row>
    <row r="21" spans="1:12" x14ac:dyDescent="0.2">
      <c r="A21">
        <v>1.589</v>
      </c>
      <c r="B21">
        <v>2</v>
      </c>
      <c r="D21">
        <f t="shared" si="0"/>
        <v>2.000515</v>
      </c>
      <c r="K21">
        <v>1.784</v>
      </c>
      <c r="L21">
        <v>2.2000000000000002</v>
      </c>
    </row>
    <row r="22" spans="1:12" x14ac:dyDescent="0.2">
      <c r="A22">
        <v>1.6779999999999999</v>
      </c>
      <c r="B22">
        <v>2.1</v>
      </c>
      <c r="D22">
        <f t="shared" si="0"/>
        <v>2.1015299999999999</v>
      </c>
      <c r="K22">
        <v>1.883</v>
      </c>
      <c r="L22">
        <v>2.2999999999999998</v>
      </c>
    </row>
    <row r="23" spans="1:12" x14ac:dyDescent="0.2">
      <c r="A23">
        <v>1.7649999999999999</v>
      </c>
      <c r="B23">
        <v>2.2000000000000002</v>
      </c>
      <c r="D23">
        <f t="shared" si="0"/>
        <v>2.200275</v>
      </c>
      <c r="K23">
        <v>1.9690000000000001</v>
      </c>
      <c r="L23">
        <v>2.4</v>
      </c>
    </row>
    <row r="24" spans="1:12" x14ac:dyDescent="0.2">
      <c r="A24">
        <v>1.8540000000000001</v>
      </c>
      <c r="B24">
        <v>2.2999999999999998</v>
      </c>
      <c r="D24">
        <f t="shared" si="0"/>
        <v>2.3012900000000003</v>
      </c>
      <c r="K24">
        <v>2.0550000000000002</v>
      </c>
      <c r="L24">
        <v>2.5</v>
      </c>
    </row>
    <row r="25" spans="1:12" x14ac:dyDescent="0.2">
      <c r="A25">
        <v>1.94</v>
      </c>
      <c r="B25">
        <v>2.4</v>
      </c>
      <c r="D25">
        <f t="shared" si="0"/>
        <v>2.3988999999999998</v>
      </c>
    </row>
    <row r="26" spans="1:12" x14ac:dyDescent="0.2">
      <c r="A26">
        <v>2.0299999999999998</v>
      </c>
      <c r="B26">
        <v>2.5</v>
      </c>
      <c r="D26">
        <f t="shared" si="0"/>
        <v>2.5010499999999998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41A47-69DF-4A21-AD4E-C575665F04CC}">
  <dimension ref="A3:P14"/>
  <sheetViews>
    <sheetView tabSelected="1" workbookViewId="0">
      <selection activeCell="P8" sqref="P8:P14"/>
    </sheetView>
  </sheetViews>
  <sheetFormatPr defaultRowHeight="14.25" x14ac:dyDescent="0.2"/>
  <sheetData>
    <row r="3" spans="1:16" x14ac:dyDescent="0.2">
      <c r="A3" t="s">
        <v>7</v>
      </c>
      <c r="B3" t="s">
        <v>9</v>
      </c>
      <c r="C3" t="s">
        <v>8</v>
      </c>
      <c r="N3" t="s">
        <v>10</v>
      </c>
      <c r="O3" t="s">
        <v>11</v>
      </c>
      <c r="P3" t="s">
        <v>12</v>
      </c>
    </row>
    <row r="4" spans="1:16" x14ac:dyDescent="0.2">
      <c r="A4">
        <v>0.5</v>
      </c>
      <c r="B4">
        <v>0.39600000000000002</v>
      </c>
      <c r="C4">
        <v>0.41699999999999998</v>
      </c>
      <c r="N4">
        <v>3</v>
      </c>
    </row>
    <row r="5" spans="1:16" x14ac:dyDescent="0.2">
      <c r="A5">
        <v>1</v>
      </c>
      <c r="B5">
        <v>0.752</v>
      </c>
      <c r="C5">
        <v>0.78600000000000003</v>
      </c>
      <c r="N5">
        <v>6</v>
      </c>
      <c r="O5">
        <v>5.9820000000000002</v>
      </c>
    </row>
    <row r="6" spans="1:16" x14ac:dyDescent="0.2">
      <c r="A6">
        <v>1.5</v>
      </c>
      <c r="B6">
        <v>1.1140000000000001</v>
      </c>
      <c r="C6">
        <v>1.1299999999999999</v>
      </c>
      <c r="N6">
        <v>9</v>
      </c>
      <c r="O6">
        <v>8.9779999999999998</v>
      </c>
    </row>
    <row r="7" spans="1:16" x14ac:dyDescent="0.2">
      <c r="A7">
        <v>2</v>
      </c>
      <c r="B7">
        <v>1.4770000000000001</v>
      </c>
      <c r="C7">
        <v>1.4730000000000001</v>
      </c>
      <c r="N7">
        <v>12</v>
      </c>
      <c r="O7">
        <v>11.984</v>
      </c>
    </row>
    <row r="8" spans="1:16" x14ac:dyDescent="0.2">
      <c r="A8">
        <v>2.5</v>
      </c>
      <c r="B8">
        <v>1.8260000000000001</v>
      </c>
      <c r="C8">
        <v>1.8180000000000001</v>
      </c>
      <c r="N8">
        <v>15</v>
      </c>
      <c r="O8">
        <v>14.983000000000001</v>
      </c>
      <c r="P8">
        <v>14.907999999999999</v>
      </c>
    </row>
    <row r="9" spans="1:16" x14ac:dyDescent="0.2">
      <c r="A9">
        <v>3</v>
      </c>
      <c r="B9">
        <v>2.181</v>
      </c>
      <c r="C9">
        <v>2.1890000000000001</v>
      </c>
      <c r="N9">
        <v>18</v>
      </c>
      <c r="O9">
        <v>17.978999999999999</v>
      </c>
      <c r="P9">
        <v>17.895</v>
      </c>
    </row>
    <row r="10" spans="1:16" x14ac:dyDescent="0.2">
      <c r="A10">
        <v>3.5</v>
      </c>
      <c r="B10">
        <v>2.5099999999999998</v>
      </c>
      <c r="C10">
        <v>2.54</v>
      </c>
      <c r="N10">
        <v>21</v>
      </c>
      <c r="O10">
        <v>20.981999999999999</v>
      </c>
      <c r="P10">
        <v>20.882000000000001</v>
      </c>
    </row>
    <row r="11" spans="1:16" x14ac:dyDescent="0.2">
      <c r="A11">
        <v>4</v>
      </c>
      <c r="B11">
        <v>2.87</v>
      </c>
      <c r="C11">
        <v>2.91</v>
      </c>
      <c r="N11">
        <v>24</v>
      </c>
      <c r="O11">
        <v>23.974</v>
      </c>
      <c r="P11">
        <v>23.863</v>
      </c>
    </row>
    <row r="12" spans="1:16" x14ac:dyDescent="0.2">
      <c r="A12">
        <v>4.5</v>
      </c>
      <c r="B12">
        <v>3.24</v>
      </c>
      <c r="C12">
        <v>3.27</v>
      </c>
      <c r="N12">
        <v>27</v>
      </c>
      <c r="P12">
        <v>26.858000000000001</v>
      </c>
    </row>
    <row r="13" spans="1:16" x14ac:dyDescent="0.2">
      <c r="N13">
        <v>30</v>
      </c>
      <c r="P13">
        <v>29.846</v>
      </c>
    </row>
    <row r="14" spans="1:16" x14ac:dyDescent="0.2">
      <c r="N14">
        <v>32</v>
      </c>
      <c r="P14">
        <v>31.837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</dc:creator>
  <cp:lastModifiedBy>李陈熠</cp:lastModifiedBy>
  <dcterms:created xsi:type="dcterms:W3CDTF">2023-02-25T05:29:12Z</dcterms:created>
  <dcterms:modified xsi:type="dcterms:W3CDTF">2023-07-27T18:54:20Z</dcterms:modified>
</cp:coreProperties>
</file>